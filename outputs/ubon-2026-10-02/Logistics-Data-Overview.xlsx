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fa2b1e5f2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ภาพรวม" sheetId="1" r:id="R5adb2c4efd264923"/>
    <x:sheet xmlns:r="http://schemas.openxmlformats.org/officeDocument/2006/relationships" name="เส้นทาง" sheetId="2" r:id="R6adc5d2763e14bdb"/>
    <x:sheet xmlns:r="http://schemas.openxmlformats.org/officeDocument/2006/relationships" name="อ้างอิง" sheetId="3" r:id="R1ae3d0d72f8b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"/>
    <x:numFmt numFmtId="203" formatCode="0.00"/>
    <x:numFmt numFmtId="204" formatCode="0%"/>
  </x:numFmts>
  <x:fonts count="6">
    <x:font>
      <x:sz val="11"/>
      <x:name val="Carlito"/>
    </x:font>
    <x:font>
      <x:sz val="10"/>
      <x:color rgb="FF243246"/>
      <x:name val="Arial"/>
    </x:font>
    <x:font>
      <x:b/>
      <x:sz val="14"/>
      <x:color rgb="FF173D5E"/>
      <x:name val="Arial"/>
    </x:font>
    <x:font>
      <x:i/>
      <x:sz val="10"/>
      <x:color rgb="FF546477"/>
      <x:name val="Arial"/>
    </x:font>
    <x:font>
      <x:b/>
      <x:sz val="10"/>
      <x:color rgb="FFFFFFFF"/>
      <x:name val="Arial"/>
    </x:font>
    <x:font>
      <x:b/>
      <x:sz val="11"/>
      <x:color rgb="FF173D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D5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5d74846fb481f" /><Relationship Type="http://schemas.openxmlformats.org/officeDocument/2006/relationships/theme" Target="/xl/theme/theme1.xml" Id="R8c75617d990a4886" /><Relationship Type="http://schemas.openxmlformats.org/officeDocument/2006/relationships/sharedStrings" Target="/xl/sharedStrings.xml" Id="R412f672626da45b0" /><Relationship Type="http://schemas.openxmlformats.org/officeDocument/2006/relationships/worksheet" Target="/xl/worksheets/sheet1.xml" Id="R5adb2c4efd264923" /><Relationship Type="http://schemas.openxmlformats.org/officeDocument/2006/relationships/worksheet" Target="/xl/worksheets/sheet2.xml" Id="R6adc5d2763e14bdb" /><Relationship Type="http://schemas.openxmlformats.org/officeDocument/2006/relationships/worksheet" Target="/xl/worksheets/sheet3.xml" Id="R1ae3d0d72f8b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D5E"/>
  </x:sheetPr>
  <x:sheetViews>
    <x:sheetView showGridLines="0" workbookViewId="0"/>
  </x:sheetViews>
  <x:sheetFormatPr defaultRowHeight="15"/>
  <x:cols>
    <x:col min="2" max="2" width="28" hidden="0" customWidth="1"/>
    <x:col min="3" max="3" width="19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3" hidden="0" customWidth="1"/>
    <x:col min="10" max="10" width="17" hidden="0" customWidth="1"/>
  </x:cols>
  <x:sheetData>
    <x:row r="2" ht="22" customHeight="1">
      <x:c r="B2" s="3" t="str">
        <x:v>ข้อมูลจำลองโลจิสติกส์: ศูนย์อุบลราชธานี</x:v>
      </x:c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B3" s="4" t="str">
        <x:v>1 เม.ย. - 30 ก.ย. 2568 (+07:00) | CSV/JSON ฉบับเต็มอยู่ใน data/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B5" s="11" t="str">
        <x:v>รายการ</x:v>
      </x:c>
      <x:c r="C5" s="11" t="str">
        <x:v>จำนวน / ค่า</x:v>
      </x:c>
      <x:c r="D5" s="11" t="str">
        <x:v>หน่วย</x:v>
      </x:c>
      <x:c r="E5" s="2"/>
      <x:c r="F5" s="2"/>
      <x:c r="G5" s="2"/>
      <x:c r="H5" s="2"/>
      <x:c r="I5" s="2"/>
      <x:c r="J5" s="2"/>
    </x:row>
    <x:row r="6" ht="22" customHeight="1">
      <x:c r="B6" s="2" t="str">
        <x:v>รายการส่งทั้งหมด</x:v>
      </x:c>
      <x:c r="C6" s="5" t="n">
        <x:v>12000</x:v>
      </x:c>
      <x:c r="D6" s="2" t="str">
        <x:v>รายการ</x:v>
      </x:c>
      <x:c r="E6" s="2"/>
      <x:c r="F6" s="12" t="str">
        <x:v>สถานการณ์ตามคำขอ</x:v>
      </x:c>
      <x:c r="G6" s="2"/>
      <x:c r="H6" s="2"/>
      <x:c r="I6" s="2"/>
      <x:c r="J6" s="2"/>
    </x:row>
    <x:row r="7" ht="22" customHeight="1">
      <x:c r="B7" s="2" t="str">
        <x:v>เที่ยวรถรวมกลับศูนย์</x:v>
      </x:c>
      <x:c r="C7" s="5" t="n">
        <x:v>1653</x:v>
      </x:c>
      <x:c r="D7" s="2" t="str">
        <x:v>เที่ยว</x:v>
      </x:c>
      <x:c r="E7" s="2"/>
      <x:c r="F7" s="2" t="str">
        <x:v>ต้นทาง: อุบลราชธานี</x:v>
      </x:c>
      <x:c r="G7" s="2"/>
      <x:c r="H7" s="2"/>
      <x:c r="I7" s="2"/>
      <x:c r="J7" s="2"/>
    </x:row>
    <x:row r="8" ht="22" customHeight="1">
      <x:c r="B8" s="2" t="str">
        <x:v>รถจำลอง</x:v>
      </x:c>
      <x:c r="C8" s="5" t="n">
        <x:v>46</x:v>
      </x:c>
      <x:c r="D8" s="2" t="str">
        <x:v>คัน</x:v>
      </x:c>
      <x:c r="E8" s="2"/>
      <x:c r="F8" s="2" t="str">
        <x:v>เชียงใหม่: 4,200 รายการ (35%)</x:v>
      </x:c>
      <x:c r="G8" s="2"/>
      <x:c r="H8" s="2"/>
      <x:c r="I8" s="2"/>
      <x:c r="J8" s="2"/>
    </x:row>
    <x:row r="9" ht="22" customHeight="1">
      <x:c r="B9" s="2" t="str">
        <x:v>คนขับจำลอง</x:v>
      </x:c>
      <x:c r="C9" s="5" t="n">
        <x:v>70</x:v>
      </x:c>
      <x:c r="D9" s="2" t="str">
        <x:v>คน</x:v>
      </x:c>
      <x:c r="E9" s="2"/>
      <x:c r="F9" s="2"/>
      <x:c r="G9" s="2"/>
      <x:c r="H9" s="2"/>
      <x:c r="I9" s="2"/>
      <x:c r="J9" s="2"/>
    </x:row>
    <x:row r="10" ht="22" customHeight="1">
      <x:c r="B10" s="2" t="str">
        <x:v>ส่งสำเร็จ</x:v>
      </x:c>
      <x:c r="C10" s="5" t="n">
        <x:v>11613</x:v>
      </x:c>
      <x:c r="D10" s="2" t="str">
        <x:v>รายการ</x:v>
      </x:c>
      <x:c r="E10" s="2"/>
      <x:c r="F10" s="2" t="str">
        <x:v>ใช้รถส่งในเชียงใหม่ 4 คัน</x:v>
      </x:c>
      <x:c r="G10" s="2"/>
      <x:c r="H10" s="2"/>
      <x:c r="I10" s="2"/>
      <x:c r="J10" s="2"/>
    </x:row>
    <x:row r="11" ht="22" customHeight="1">
      <x:c r="B11" s="2" t="str">
        <x:v>ยกเลิกก่อนขนส่ง</x:v>
      </x:c>
      <x:c r="C11" s="5" t="n">
        <x:v>284</x:v>
      </x:c>
      <x:c r="D11" s="2" t="str">
        <x:v>รายการ</x:v>
      </x:c>
      <x:c r="E11" s="2"/>
      <x:c r="F11" s="2" t="str">
        <x:v>จังหวัดอื่นแห่งละ 2 คัน</x:v>
      </x:c>
      <x:c r="G11" s="2"/>
      <x:c r="H11" s="2"/>
      <x:c r="I11" s="2"/>
      <x:c r="J11" s="2"/>
    </x:row>
    <x:row r="12" ht="22" customHeight="1">
      <x:c r="B12" s="2" t="str">
        <x:v>ยังไม่ส่งสำเร็จ</x:v>
      </x:c>
      <x:c r="C12" s="5" t="n">
        <x:v>103</x:v>
      </x:c>
      <x:c r="D12" s="2" t="str">
        <x:v>รายการ</x:v>
      </x:c>
      <x:c r="E12" s="2"/>
      <x:c r="F12" s="2"/>
      <x:c r="G12" s="2"/>
      <x:c r="H12" s="2"/>
      <x:c r="I12" s="2"/>
      <x:c r="J12" s="2"/>
    </x:row>
    <x:row r="13" ht="22" customHeight="1">
      <x:c r="B13" s="2" t="str">
        <x:v>ส่งสำเร็จตรงเวลา</x:v>
      </x:c>
      <x:c r="C13" s="5" t="n">
        <x:v>10918</x:v>
      </x:c>
      <x:c r="D13" s="2" t="str">
        <x:v>รายการ</x:v>
      </x:c>
      <x:c r="E13" s="2"/>
      <x:c r="F13" s="2" t="str">
        <x:v>OTD นี้เป็นผลของแบบจำลอง</x:v>
      </x:c>
      <x:c r="G13" s="2"/>
      <x:c r="H13" s="2"/>
      <x:c r="I13" s="2"/>
      <x:c r="J13" s="2"/>
    </x:row>
    <x:row r="14" ht="22" customHeight="1">
      <x:c r="B14" s="2" t="str">
        <x:v>OTD เฉพาะส่งสำเร็จ</x:v>
      </x:c>
      <x:c r="C14" s="6" t="n">
        <x:f>C13/C10</x:f>
        <x:v>0.9401532765004736</x:v>
      </x:c>
      <x:c r="D14" s="2" t="str">
        <x:v>%</x:v>
      </x:c>
      <x:c r="E14" s="2"/>
      <x:c r="F14" s="2" t="str">
        <x:v>ไม่ใช่อัตราจริงของผู้ประกอบการ</x:v>
      </x:c>
      <x:c r="G14" s="2"/>
      <x:c r="H14" s="2"/>
      <x:c r="I14" s="2"/>
      <x:c r="J14" s="2"/>
    </x:row>
    <x:row r="15" ht="22" customHeight="1">
      <x:c r="B15" s="2" t="str">
        <x:v>ต้นทุนที่รับรู้แล้ว</x:v>
      </x:c>
      <x:c r="C15" s="7" t="n">
        <x:v>9730965.57</x:v>
      </x:c>
      <x:c r="D15" s="2" t="str">
        <x:v>บาท</x:v>
      </x:c>
      <x:c r="E15" s="2"/>
      <x:c r="F15" s="2"/>
      <x:c r="G15" s="2"/>
      <x:c r="H15" s="2"/>
      <x:c r="I15" s="2"/>
      <x:c r="J15" s="2"/>
    </x:row>
    <x:row r="16" ht="22" customHeight="1"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B18" s="12" t="str">
        <x:v>ผลรายเดือนตามเดือนรับงาน</x:v>
      </x:c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8" customHeight="1">
      <x:c r="B20" s="11" t="str">
        <x:v>เดือน</x:v>
      </x:c>
      <x:c r="C20" s="11" t="str">
        <x:v>รับงาน</x:v>
      </x:c>
      <x:c r="D20" s="11" t="str">
        <x:v>ส่งสำเร็จ</x:v>
      </x:c>
      <x:c r="E20" s="11" t="str">
        <x:v>ยกเลิก</x:v>
      </x:c>
      <x:c r="F20" s="11" t="str">
        <x:v>ค้าง</x:v>
      </x:c>
      <x:c r="G20" s="11" t="str">
        <x:v>ตรงเวลา</x:v>
      </x:c>
      <x:c r="H20" s="11" t="str">
        <x:v>OTD</x:v>
      </x:c>
      <x:c r="I20" s="11" t="str">
        <x:v>ต้นทุนรับรู้ (บาท)</x:v>
      </x:c>
      <x:c r="J20" s="2"/>
    </x:row>
    <x:row r="21" ht="22" customHeight="1">
      <x:c r="B21" s="2" t="str">
        <x:v>2025-04</x:v>
      </x:c>
      <x:c r="C21" s="5" t="n">
        <x:v>1400</x:v>
      </x:c>
      <x:c r="D21" s="5" t="n">
        <x:v>1370</x:v>
      </x:c>
      <x:c r="E21" s="5" t="n">
        <x:v>30</x:v>
      </x:c>
      <x:c r="F21" s="5" t="n">
        <x:v>0</x:v>
      </x:c>
      <x:c r="G21" s="5" t="n">
        <x:v>1311</x:v>
      </x:c>
      <x:c r="H21" s="6" t="n">
        <x:f>G21/D21</x:f>
        <x:v>0.9569343065693431</x:v>
      </x:c>
      <x:c r="I21" s="7" t="n">
        <x:v>1036969.62</x:v>
      </x:c>
      <x:c r="J21" s="2"/>
    </x:row>
    <x:row r="22" ht="22" customHeight="1">
      <x:c r="B22" s="2" t="str">
        <x:v>2025-05</x:v>
      </x:c>
      <x:c r="C22" s="5" t="n">
        <x:v>1700</x:v>
      </x:c>
      <x:c r="D22" s="5" t="n">
        <x:v>1651</x:v>
      </x:c>
      <x:c r="E22" s="5" t="n">
        <x:v>49</x:v>
      </x:c>
      <x:c r="F22" s="5" t="n">
        <x:v>0</x:v>
      </x:c>
      <x:c r="G22" s="5" t="n">
        <x:v>1532</x:v>
      </x:c>
      <x:c r="H22" s="6" t="n">
        <x:f>G22/D22</x:f>
        <x:v>0.9279224712295578</x:v>
      </x:c>
      <x:c r="I22" s="7" t="n">
        <x:v>1330694.19</x:v>
      </x:c>
      <x:c r="J22" s="2"/>
    </x:row>
    <x:row r="23" ht="22" customHeight="1">
      <x:c r="B23" s="2" t="str">
        <x:v>2025-06</x:v>
      </x:c>
      <x:c r="C23" s="5" t="n">
        <x:v>1900</x:v>
      </x:c>
      <x:c r="D23" s="5" t="n">
        <x:v>1855</x:v>
      </x:c>
      <x:c r="E23" s="5" t="n">
        <x:v>45</x:v>
      </x:c>
      <x:c r="F23" s="5" t="n">
        <x:v>0</x:v>
      </x:c>
      <x:c r="G23" s="5" t="n">
        <x:v>1745</x:v>
      </x:c>
      <x:c r="H23" s="6" t="n">
        <x:f>G23/D23</x:f>
        <x:v>0.9407008086253369</x:v>
      </x:c>
      <x:c r="I23" s="7" t="n">
        <x:v>1551663.67</x:v>
      </x:c>
      <x:c r="J23" s="2"/>
    </x:row>
    <x:row r="24" ht="22" customHeight="1">
      <x:c r="B24" s="2" t="str">
        <x:v>2025-07</x:v>
      </x:c>
      <x:c r="C24" s="5" t="n">
        <x:v>2200</x:v>
      </x:c>
      <x:c r="D24" s="5" t="n">
        <x:v>2149</x:v>
      </x:c>
      <x:c r="E24" s="5" t="n">
        <x:v>51</x:v>
      </x:c>
      <x:c r="F24" s="5" t="n">
        <x:v>0</x:v>
      </x:c>
      <x:c r="G24" s="5" t="n">
        <x:v>2020</x:v>
      </x:c>
      <x:c r="H24" s="6" t="n">
        <x:f>G24/D24</x:f>
        <x:v>0.9399720800372267</x:v>
      </x:c>
      <x:c r="I24" s="7" t="n">
        <x:v>1772431.44</x:v>
      </x:c>
      <x:c r="J24" s="2"/>
    </x:row>
    <x:row r="25" ht="22" customHeight="1">
      <x:c r="B25" s="2" t="str">
        <x:v>2025-08</x:v>
      </x:c>
      <x:c r="C25" s="5" t="n">
        <x:v>2300</x:v>
      </x:c>
      <x:c r="D25" s="5" t="n">
        <x:v>2243</x:v>
      </x:c>
      <x:c r="E25" s="5" t="n">
        <x:v>57</x:v>
      </x:c>
      <x:c r="F25" s="5" t="n">
        <x:v>0</x:v>
      </x:c>
      <x:c r="G25" s="5" t="n">
        <x:v>2081</x:v>
      </x:c>
      <x:c r="H25" s="6" t="n">
        <x:f>G25/D25</x:f>
        <x:v>0.927775300936246</x:v>
      </x:c>
      <x:c r="I25" s="7" t="n">
        <x:v>1917814.04</x:v>
      </x:c>
      <x:c r="J25" s="2"/>
    </x:row>
    <x:row r="26" ht="22" customHeight="1">
      <x:c r="B26" s="2" t="str">
        <x:v>2025-09</x:v>
      </x:c>
      <x:c r="C26" s="5" t="n">
        <x:v>2500</x:v>
      </x:c>
      <x:c r="D26" s="5" t="n">
        <x:v>2345</x:v>
      </x:c>
      <x:c r="E26" s="5" t="n">
        <x:v>52</x:v>
      </x:c>
      <x:c r="F26" s="5" t="n">
        <x:v>103</x:v>
      </x:c>
      <x:c r="G26" s="5" t="n">
        <x:v>2229</x:v>
      </x:c>
      <x:c r="H26" s="6" t="n">
        <x:f>G26/D26</x:f>
        <x:v>0.9505330490405117</x:v>
      </x:c>
      <x:c r="I26" s="7" t="n">
        <x:v>2121392.61</x:v>
      </x:c>
      <x:c r="J26" s="2"/>
    </x:row>
    <x:row r="27" ht="22" customHeight="1"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2" customHeight="1">
      <x:c r="B28" s="12" t="str">
        <x:v>ปลายทางตามจำนวนรับงาน</x:v>
      </x:c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8" customHeight="1">
      <x:c r="B30" s="11" t="str">
        <x:v>จังหวัด</x:v>
      </x:c>
      <x:c r="C30" s="11" t="str">
        <x:v>รับงาน</x:v>
      </x:c>
      <x:c r="D30" s="11" t="str">
        <x:v>สัดส่วน</x:v>
      </x:c>
      <x:c r="E30" s="11" t="str">
        <x:v>ส่งสำเร็จ</x:v>
      </x:c>
      <x:c r="F30" s="11" t="str">
        <x:v>ตรงเวลา</x:v>
      </x:c>
      <x:c r="G30" s="11" t="str">
        <x:v>OTD</x:v>
      </x:c>
      <x:c r="H30" s="2"/>
      <x:c r="I30" s="2"/>
      <x:c r="J30" s="2"/>
    </x:row>
    <x:row r="31" ht="22" customHeight="1">
      <x:c r="B31" s="2" t="str">
        <x:v>เชียงใหม่</x:v>
      </x:c>
      <x:c r="C31" s="5" t="n">
        <x:v>4200</x:v>
      </x:c>
      <x:c r="D31" s="6" t="n">
        <x:f>C31/$C$6</x:f>
        <x:v>0.35</x:v>
      </x:c>
      <x:c r="E31" s="5" t="n">
        <x:v>4100</x:v>
      </x:c>
      <x:c r="F31" s="5" t="n">
        <x:v>3825</x:v>
      </x:c>
      <x:c r="G31" s="6" t="n">
        <x:f>F31/E31</x:f>
        <x:v>0.9329268292682927</x:v>
      </x:c>
      <x:c r="H31" s="2"/>
      <x:c r="I31" s="2"/>
      <x:c r="J31" s="2"/>
    </x:row>
    <x:row r="32" ht="22" customHeight="1">
      <x:c r="B32" s="2" t="str">
        <x:v>กรุงเทพมหานคร</x:v>
      </x:c>
      <x:c r="C32" s="5" t="n">
        <x:v>1800</x:v>
      </x:c>
      <x:c r="D32" s="6" t="n">
        <x:f>C32/$C$6</x:f>
        <x:v>0.15</x:v>
      </x:c>
      <x:c r="E32" s="5" t="n">
        <x:v>1752</x:v>
      </x:c>
      <x:c r="F32" s="5" t="n">
        <x:v>1667</x:v>
      </x:c>
      <x:c r="G32" s="6" t="n">
        <x:f>F32/E32</x:f>
        <x:v>0.9514840182648402</x:v>
      </x:c>
      <x:c r="H32" s="2"/>
      <x:c r="I32" s="2"/>
      <x:c r="J32" s="2"/>
    </x:row>
    <x:row r="33" ht="22" customHeight="1">
      <x:c r="B33" s="2" t="str">
        <x:v>ขอนแก่น</x:v>
      </x:c>
      <x:c r="C33" s="5" t="n">
        <x:v>1200</x:v>
      </x:c>
      <x:c r="D33" s="6" t="n">
        <x:f>C33/$C$6</x:f>
        <x:v>0.1</x:v>
      </x:c>
      <x:c r="E33" s="5" t="n">
        <x:v>1118</x:v>
      </x:c>
      <x:c r="F33" s="5" t="n">
        <x:v>1087</x:v>
      </x:c>
      <x:c r="G33" s="6" t="n">
        <x:f>F33/E33</x:f>
        <x:v>0.9722719141323792</x:v>
      </x:c>
      <x:c r="H33" s="2"/>
      <x:c r="I33" s="2"/>
      <x:c r="J33" s="2"/>
    </x:row>
    <x:row r="34" ht="22" customHeight="1">
      <x:c r="B34" s="2" t="str">
        <x:v>กาฬสินธุ์</x:v>
      </x:c>
      <x:c r="C34" s="5" t="n">
        <x:v>960</x:v>
      </x:c>
      <x:c r="D34" s="6" t="n">
        <x:f>C34/$C$6</x:f>
        <x:v>0.08</x:v>
      </x:c>
      <x:c r="E34" s="5" t="n">
        <x:v>932</x:v>
      </x:c>
      <x:c r="F34" s="5" t="n">
        <x:v>825</x:v>
      </x:c>
      <x:c r="G34" s="6" t="n">
        <x:f>F34/E34</x:f>
        <x:v>0.8851931330472103</x:v>
      </x:c>
      <x:c r="H34" s="2"/>
      <x:c r="I34" s="2"/>
      <x:c r="J34" s="2"/>
    </x:row>
    <x:row r="35" ht="22" customHeight="1">
      <x:c r="B35" s="2" t="str">
        <x:v>ศรีสะเกษ</x:v>
      </x:c>
      <x:c r="C35" s="5" t="n">
        <x:v>840</x:v>
      </x:c>
      <x:c r="D35" s="6" t="n">
        <x:f>C35/$C$6</x:f>
        <x:v>0.07</x:v>
      </x:c>
      <x:c r="E35" s="5" t="n">
        <x:v>822</x:v>
      </x:c>
      <x:c r="F35" s="5" t="n">
        <x:v>750</x:v>
      </x:c>
      <x:c r="G35" s="6" t="n">
        <x:f>F35/E35</x:f>
        <x:v>0.9124087591240876</x:v>
      </x:c>
      <x:c r="H35" s="2"/>
      <x:c r="I35" s="2"/>
      <x:c r="J35" s="2"/>
    </x:row>
    <x:row r="36" ht="22" customHeight="1">
      <x:c r="B36" s="2" t="str">
        <x:v>นครราชสีมา</x:v>
      </x:c>
      <x:c r="C36" s="5" t="n">
        <x:v>720</x:v>
      </x:c>
      <x:c r="D36" s="6" t="n">
        <x:f>C36/$C$6</x:f>
        <x:v>0.06</x:v>
      </x:c>
      <x:c r="E36" s="5" t="n">
        <x:v>704</x:v>
      </x:c>
      <x:c r="F36" s="5" t="n">
        <x:v>679</x:v>
      </x:c>
      <x:c r="G36" s="6" t="n">
        <x:f>F36/E36</x:f>
        <x:v>0.9644886363636364</x:v>
      </x:c>
      <x:c r="H36" s="2"/>
      <x:c r="I36" s="2"/>
      <x:c r="J36" s="2"/>
    </x:row>
    <x:row r="37" ht="22" customHeight="1">
      <x:c r="B37" s="2" t="str">
        <x:v>อุดรธานี</x:v>
      </x:c>
      <x:c r="C37" s="5" t="n">
        <x:v>720</x:v>
      </x:c>
      <x:c r="D37" s="6" t="n">
        <x:f>C37/$C$6</x:f>
        <x:v>0.06</x:v>
      </x:c>
      <x:c r="E37" s="5" t="n">
        <x:v>702</x:v>
      </x:c>
      <x:c r="F37" s="5" t="n">
        <x:v>666</x:v>
      </x:c>
      <x:c r="G37" s="6" t="n">
        <x:f>F37/E37</x:f>
        <x:v>0.9487179487179487</x:v>
      </x:c>
      <x:c r="H37" s="2"/>
      <x:c r="I37" s="2"/>
      <x:c r="J37" s="2"/>
    </x:row>
    <x:row r="38" ht="22" customHeight="1">
      <x:c r="B38" s="2" t="str">
        <x:v>ร้อยเอ็ด</x:v>
      </x:c>
      <x:c r="C38" s="5" t="n">
        <x:v>600</x:v>
      </x:c>
      <x:c r="D38" s="6" t="n">
        <x:f>C38/$C$6</x:f>
        <x:v>0.05</x:v>
      </x:c>
      <x:c r="E38" s="5" t="n">
        <x:v>585</x:v>
      </x:c>
      <x:c r="F38" s="5" t="n">
        <x:v>558</x:v>
      </x:c>
      <x:c r="G38" s="6" t="n">
        <x:f>F38/E38</x:f>
        <x:v>0.9538461538461539</x:v>
      </x:c>
      <x:c r="H38" s="2"/>
      <x:c r="I38" s="2"/>
      <x:c r="J38" s="2"/>
    </x:row>
    <x:row r="39" ht="22" customHeight="1">
      <x:c r="B39" s="2" t="str">
        <x:v>ลำปาง</x:v>
      </x:c>
      <x:c r="C39" s="5" t="n">
        <x:v>480</x:v>
      </x:c>
      <x:c r="D39" s="6" t="n">
        <x:f>C39/$C$6</x:f>
        <x:v>0.04</x:v>
      </x:c>
      <x:c r="E39" s="5" t="n">
        <x:v>451</x:v>
      </x:c>
      <x:c r="F39" s="5" t="n">
        <x:v>436</x:v>
      </x:c>
      <x:c r="G39" s="6" t="n">
        <x:f>F39/E39</x:f>
        <x:v>0.9667405764966741</x:v>
      </x:c>
      <x:c r="H39" s="2"/>
      <x:c r="I39" s="2"/>
      <x:c r="J39" s="2"/>
    </x:row>
    <x:row r="40" ht="22" customHeight="1">
      <x:c r="B40" s="2" t="str">
        <x:v>ระยอง</x:v>
      </x:c>
      <x:c r="C40" s="5" t="n">
        <x:v>480</x:v>
      </x:c>
      <x:c r="D40" s="6" t="n">
        <x:f>C40/$C$6</x:f>
        <x:v>0.04</x:v>
      </x:c>
      <x:c r="E40" s="5" t="n">
        <x:v>447</x:v>
      </x:c>
      <x:c r="F40" s="5" t="n">
        <x:v>425</x:v>
      </x:c>
      <x:c r="G40" s="6" t="n">
        <x:f>F40/E40</x:f>
        <x:v>0.9507829977628636</x:v>
      </x:c>
      <x:c r="H40" s="2"/>
      <x:c r="I40" s="2"/>
      <x:c r="J40" s="2"/>
    </x:row>
    <x:row r="41" ht="22" customHeight="1"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2" customHeight="1"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B43" s="2" t="str">
        <x:v>ต้นทุนรวมเฉพาะเที่ยวที่ปิดแล้ว รวมค่าน้ำมันและขากลับอยู่แล้ว</x:v>
      </x:c>
      <x:c r="C43" s="2"/>
      <x:c r="D43" s="2"/>
      <x:c r="E43" s="2"/>
      <x:c r="F43" s="2"/>
      <x:c r="G43" s="2"/>
      <x:c r="H43" s="2"/>
      <x:c r="I43" s="2"/>
      <x:c r="J43" s="2"/>
    </x:row>
    <x:row r="44" ht="22" customHeight="1">
      <x:c r="B44" s="2" t="str">
        <x:v>ค่า KPI ต้องคำนวณใหม่เมื่อเปลี่ยนตัวกรองหรือใช้ข้อมูลจริง</x:v>
      </x:c>
      <x:c r="C44" s="2"/>
      <x:c r="D44" s="2"/>
      <x:c r="E44" s="2"/>
      <x:c r="F44" s="2"/>
      <x:c r="G44" s="2"/>
      <x:c r="H44" s="2"/>
      <x:c r="I44" s="2"/>
      <x:c r="J44" s="2"/>
    </x:row>
    <x:row r="45" ht="22" customHeight="1"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2" customHeight="1"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2" customHeight="1"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2" customHeight="1"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2" customHeight="1"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2" customHeight="1"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 ht="22" customHeight="1">
      <x:c r="B2" s="3" t="str">
        <x:v>ฐานระยะทางและเส้นทาง</x:v>
      </x:c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B3" s="4" t="str">
        <x:v>OSRM บน OpenStreetMap | ดึง 2 ต.ค. 2569 | ใช้เป็นฐานจำลองปี 2568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B5" s="11" t="str">
        <x:v>ปลายทาง</x:v>
      </x:c>
      <x:c r="C5" s="11" t="str">
        <x:v>ขาไป (กม.)</x:v>
      </x:c>
      <x:c r="D5" s="11" t="str">
        <x:v>กลับ (กม.)</x:v>
      </x:c>
      <x:c r="E5" s="11" t="str">
        <x:v>รถยนต์ (ชม.)</x:v>
      </x:c>
      <x:c r="F5" s="11" t="str">
        <x:v>แผนรถขนส่ง (ชม.)</x:v>
      </x:c>
      <x:c r="G5" s="11" t="str">
        <x:v>สัดส่วนรับงาน</x:v>
      </x:c>
      <x:c r="H5" s="11" t="str">
        <x:v>แหล่ง</x:v>
      </x:c>
      <x:c r="I5" s="2"/>
      <x:c r="J5" s="2"/>
    </x:row>
    <x:row r="6" ht="22" customHeight="1">
      <x:c r="B6" s="2" t="str">
        <x:v>เชียงใหม่</x:v>
      </x:c>
      <x:c r="C6" s="13" t="n">
        <x:v>924.01</x:v>
      </x:c>
      <x:c r="D6" s="13" t="n">
        <x:v>926.214</x:v>
      </x:c>
      <x:c r="E6" s="13" t="n">
        <x:v>12.4359</x:v>
      </x:c>
      <x:c r="F6" s="13" t="n">
        <x:v>15.653</x:v>
      </x:c>
      <x:c r="G6" s="14" t="n">
        <x:v>0.35</x:v>
      </x:c>
      <x:c r="H6" s="2" t="str">
        <x:v>SRC_OSRM</x:v>
      </x:c>
      <x:c r="I6" s="2"/>
      <x:c r="J6" s="2"/>
    </x:row>
    <x:row r="7" ht="22" customHeight="1">
      <x:c r="B7" s="2" t="str">
        <x:v>กรุงเทพมหานคร</x:v>
      </x:c>
      <x:c r="C7" s="13" t="n">
        <x:v>604.414</x:v>
      </x:c>
      <x:c r="D7" s="13" t="n">
        <x:v>605.477</x:v>
      </x:c>
      <x:c r="E7" s="13" t="n">
        <x:v>7.6618</x:v>
      </x:c>
      <x:c r="F7" s="13" t="n">
        <x:v>10.499</x:v>
      </x:c>
      <x:c r="G7" s="14" t="n">
        <x:v>0.15</x:v>
      </x:c>
      <x:c r="H7" s="2" t="str">
        <x:v>SRC_OSRM</x:v>
      </x:c>
      <x:c r="I7" s="2"/>
      <x:c r="J7" s="2"/>
    </x:row>
    <x:row r="8" ht="22" customHeight="1">
      <x:c r="B8" s="2" t="str">
        <x:v>ขอนแก่น</x:v>
      </x:c>
      <x:c r="C8" s="13" t="n">
        <x:v>287.448</x:v>
      </x:c>
      <x:c r="D8" s="13" t="n">
        <x:v>287.432</x:v>
      </x:c>
      <x:c r="E8" s="13" t="n">
        <x:v>3.7939</x:v>
      </x:c>
      <x:c r="F8" s="13" t="n">
        <x:v>5.386</x:v>
      </x:c>
      <x:c r="G8" s="14" t="n">
        <x:v>0.1</x:v>
      </x:c>
      <x:c r="H8" s="2" t="str">
        <x:v>SRC_OSRM</x:v>
      </x:c>
      <x:c r="I8" s="2"/>
      <x:c r="J8" s="2"/>
    </x:row>
    <x:row r="9" ht="22" customHeight="1">
      <x:c r="B9" s="2" t="str">
        <x:v>กาฬสินธุ์</x:v>
      </x:c>
      <x:c r="C9" s="13" t="n">
        <x:v>220.638</x:v>
      </x:c>
      <x:c r="D9" s="13" t="n">
        <x:v>220.253</x:v>
      </x:c>
      <x:c r="E9" s="13" t="n">
        <x:v>2.9103</x:v>
      </x:c>
      <x:c r="F9" s="13" t="n">
        <x:v>4.309</x:v>
      </x:c>
      <x:c r="G9" s="14" t="n">
        <x:v>0.08</x:v>
      </x:c>
      <x:c r="H9" s="2" t="str">
        <x:v>SRC_OSRM</x:v>
      </x:c>
      <x:c r="I9" s="2"/>
      <x:c r="J9" s="2"/>
    </x:row>
    <x:row r="10" ht="22" customHeight="1">
      <x:c r="B10" s="2" t="str">
        <x:v>ศรีสะเกษ</x:v>
      </x:c>
      <x:c r="C10" s="13" t="n">
        <x:v>68.038</x:v>
      </x:c>
      <x:c r="D10" s="13" t="n">
        <x:v>69.994</x:v>
      </x:c>
      <x:c r="E10" s="13" t="n">
        <x:v>1.1335</x:v>
      </x:c>
      <x:c r="F10" s="13" t="n">
        <x:v>1.847</x:v>
      </x:c>
      <x:c r="G10" s="14" t="n">
        <x:v>0.07</x:v>
      </x:c>
      <x:c r="H10" s="2" t="str">
        <x:v>SRC_OSRM</x:v>
      </x:c>
      <x:c r="I10" s="2"/>
      <x:c r="J10" s="2"/>
    </x:row>
    <x:row r="11" ht="22" customHeight="1">
      <x:c r="B11" s="2" t="str">
        <x:v>นครราชสีมา</x:v>
      </x:c>
      <x:c r="C11" s="13" t="n">
        <x:v>378.725</x:v>
      </x:c>
      <x:c r="D11" s="13" t="n">
        <x:v>378.092</x:v>
      </x:c>
      <x:c r="E11" s="13" t="n">
        <x:v>4.5707</x:v>
      </x:c>
      <x:c r="F11" s="13" t="n">
        <x:v>6.858</x:v>
      </x:c>
      <x:c r="G11" s="14" t="n">
        <x:v>0.06</x:v>
      </x:c>
      <x:c r="H11" s="2" t="str">
        <x:v>SRC_OSRM</x:v>
      </x:c>
      <x:c r="I11" s="2"/>
      <x:c r="J11" s="2"/>
    </x:row>
    <x:row r="12" ht="22" customHeight="1">
      <x:c r="B12" s="2" t="str">
        <x:v>อุดรธานี</x:v>
      </x:c>
      <x:c r="C12" s="13" t="n">
        <x:v>406.468</x:v>
      </x:c>
      <x:c r="D12" s="13" t="n">
        <x:v>404.786</x:v>
      </x:c>
      <x:c r="E12" s="13" t="n">
        <x:v>5.2109</x:v>
      </x:c>
      <x:c r="F12" s="13" t="n">
        <x:v>7.306</x:v>
      </x:c>
      <x:c r="G12" s="14" t="n">
        <x:v>0.06</x:v>
      </x:c>
      <x:c r="H12" s="2" t="str">
        <x:v>SRC_OSRM</x:v>
      </x:c>
      <x:c r="I12" s="2"/>
      <x:c r="J12" s="2"/>
    </x:row>
    <x:row r="13" ht="22" customHeight="1">
      <x:c r="B13" s="2" t="str">
        <x:v>ร้อยเอ็ด</x:v>
      </x:c>
      <x:c r="C13" s="13" t="n">
        <x:v>172.08</x:v>
      </x:c>
      <x:c r="D13" s="13" t="n">
        <x:v>172.131</x:v>
      </x:c>
      <x:c r="E13" s="13" t="n">
        <x:v>2.1415</x:v>
      </x:c>
      <x:c r="F13" s="13" t="n">
        <x:v>3.525</x:v>
      </x:c>
      <x:c r="G13" s="14" t="n">
        <x:v>0.05</x:v>
      </x:c>
      <x:c r="H13" s="2" t="str">
        <x:v>SRC_OSRM</x:v>
      </x:c>
      <x:c r="I13" s="2"/>
      <x:c r="J13" s="2"/>
    </x:row>
    <x:row r="14" ht="22" customHeight="1">
      <x:c r="B14" s="2" t="str">
        <x:v>ลำปาง</x:v>
      </x:c>
      <x:c r="C14" s="13" t="n">
        <x:v>827.649</x:v>
      </x:c>
      <x:c r="D14" s="13" t="n">
        <x:v>827.832</x:v>
      </x:c>
      <x:c r="E14" s="13" t="n">
        <x:v>11.1356</x:v>
      </x:c>
      <x:c r="F14" s="13" t="n">
        <x:v>14.099</x:v>
      </x:c>
      <x:c r="G14" s="14" t="n">
        <x:v>0.04</x:v>
      </x:c>
      <x:c r="H14" s="2" t="str">
        <x:v>SRC_OSRM</x:v>
      </x:c>
      <x:c r="I14" s="2"/>
      <x:c r="J14" s="2"/>
    </x:row>
    <x:row r="15" ht="22" customHeight="1">
      <x:c r="B15" s="2" t="str">
        <x:v>ระยอง</x:v>
      </x:c>
      <x:c r="C15" s="13" t="n">
        <x:v>662.132</x:v>
      </x:c>
      <x:c r="D15" s="13" t="n">
        <x:v>663.104</x:v>
      </x:c>
      <x:c r="E15" s="13" t="n">
        <x:v>8.2045</x:v>
      </x:c>
      <x:c r="F15" s="13" t="n">
        <x:v>11.43</x:v>
      </x:c>
      <x:c r="G15" s="14" t="n">
        <x:v>0.04</x:v>
      </x:c>
      <x:c r="H15" s="2" t="str">
        <x:v>SRC_OSRM</x:v>
      </x:c>
      <x:c r="I15" s="2"/>
      <x:c r="J15" s="2"/>
    </x:row>
    <x:row r="16" ht="22" customHeight="1"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B18" s="2" t="str">
        <x:v>ขาไปและกลับคำนวณแยก เพราะถนนและทางเข้าเมืองอาจต่างกัน</x:v>
      </x:c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B20" s="2" t="str">
        <x:v>พิกัดศูนย์เป็นจุดประมาณกลางเมือง ไม่ใช่โกดังจริง</x:v>
      </x:c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2" customHeight="1">
      <x:c r="B22" s="2" t="str">
        <x:v>OSRM ใช้ profile รถยนต์ ไม่ใช่เส้นทางรับรองสำหรับรถบรรทุก</x:v>
      </x:c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2" customHeight="1">
      <x:c r="B24" s="2" t="str">
        <x:v>Local loop ส่งถึงลูกค้าใช้ระยะทางสมมติทั้งหมด และแยกไว้ใน routes.csv</x:v>
      </x:c>
      <x:c r="C24" s="2"/>
      <x:c r="D24" s="2"/>
      <x:c r="E24" s="2"/>
      <x:c r="F24" s="2"/>
      <x:c r="G24" s="2"/>
      <x:c r="H24" s="2"/>
      <x:c r="I24" s="2"/>
      <x:c r="J24" s="2"/>
    </x:row>
    <x:row r="25" ht="22" customHeight="1"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2" customHeight="1">
      <x:c r="B26" s="2" t="str">
        <x:v>เชียงใหม่: ข้อมูลนครชัยแอร์ 1,043 กม. ใช้ตรวจบริบท เส้นทางต่างจาก OSRM</x:v>
      </x:c>
      <x:c r="C26" s="2"/>
      <x:c r="D26" s="2"/>
      <x:c r="E26" s="2"/>
      <x:c r="F26" s="2"/>
      <x:c r="G26" s="2"/>
      <x:c r="H26" s="2"/>
      <x:c r="I26" s="2"/>
      <x:c r="J26" s="2"/>
    </x:row>
    <x:row r="27" ht="22" customHeight="1"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2" customHeight="1"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2" customHeight="1"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2" customHeight="1"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2" customHeight="1"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2" customHeight="1"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2" customHeight="1"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2" customHeight="1"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2" customHeight="1"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2" customHeight="1"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2" customHeight="1"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2" customHeight="1"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2" customHeight="1"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2" customHeight="1"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2" customHeight="1"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2" customHeight="1"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2" customHeight="1"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2" customHeight="1"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2" customHeight="1"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3" hidden="0" customWidth="1"/>
    <x:col min="3" max="3" width="40" hidden="0" customWidth="1"/>
    <x:col min="4" max="4" width="61" hidden="0" customWidth="1"/>
    <x:col min="5" max="5" width="8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 ht="22" customHeight="1">
      <x:c r="B2" s="3" t="str">
        <x:v>ที่มาและสมมติฐาน</x:v>
      </x:c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B3" s="4" t="str">
        <x:v>ข้อมูลจริงใช้เป็นฐาน | รายเที่ยว คนขับ ลูกค้า ฝน และค่าใช้จ่ายเป็นข้อมูลจำลอง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B5" s="11" t="str">
        <x:v>รหัสแหล่ง</x:v>
      </x:c>
      <x:c r="C5" s="11" t="str">
        <x:v>ผู้เผยแพร่ / งวด</x:v>
      </x:c>
      <x:c r="D5" s="11" t="str">
        <x:v>สิ่งที่อ้างอิง</x:v>
      </x:c>
      <x:c r="E5" s="11" t="str">
        <x:v>URL ต้นฉบับ</x:v>
      </x:c>
      <x:c r="F5" s="2"/>
      <x:c r="G5" s="2"/>
      <x:c r="H5" s="2"/>
      <x:c r="I5" s="2"/>
      <x:c r="J5" s="2"/>
    </x:row>
    <x:row r="6" ht="65" customHeight="1">
      <x:c r="B6" s="15" t="str">
        <x:v>SRC_OSRM</x:v>
      </x:c>
      <x:c r="C6" s="15" t="str">
        <x:v>OSRM / OpenStreetMap contributors / retrieved 2026-10-02</x:v>
      </x:c>
      <x:c r="D6" s="15" t="str">
        <x:v>Driving-network distance benchmark; API car duration, not truck time</x:v>
      </x:c>
      <x:c r="E6" s="15" t="str">
        <x:v>https://project-osrm.org/docs/v5.24.0/api/</x:v>
      </x:c>
      <x:c r="F6" s="2"/>
      <x:c r="G6" s="2"/>
      <x:c r="H6" s="2"/>
      <x:c r="I6" s="2"/>
      <x:c r="J6" s="2"/>
    </x:row>
    <x:row r="7" ht="65" customHeight="1">
      <x:c r="B7" s="15" t="str">
        <x:v>SRC_OSM</x:v>
      </x:c>
      <x:c r="C7" s="15" t="str">
        <x:v>OpenStreetMap contributors / retrieved 2026-10-02</x:v>
      </x:c>
      <x:c r="D7" s="15" t="str">
        <x:v>Road-network attribution</x:v>
      </x:c>
      <x:c r="E7" s="15" t="str">
        <x:v>https://www.openstreetmap.org/copyright</x:v>
      </x:c>
      <x:c r="F7" s="2"/>
      <x:c r="G7" s="2"/>
      <x:c r="H7" s="2"/>
      <x:c r="I7" s="2"/>
      <x:c r="J7" s="2"/>
    </x:row>
    <x:row r="8" ht="65" customHeight="1">
      <x:c r="B8" s="15" t="str">
        <x:v>SRC_ISUZU</x:v>
      </x:c>
      <x:c r="C8" s="15" t="str">
        <x:v>ISUZU TRUCKS Thailand / retrieved 2026-10-02</x:v>
      </x:c>
      <x:c r="D8" s="15" t="str">
        <x:v>NLR GVW 4400 kg; NPR GVW 8500 kg; FTR GVW 15000 kg</x:v>
      </x:c>
      <x:c r="E8" s="15" t="str">
        <x:v>https://truck.isuzu-tis.com/product</x:v>
      </x:c>
      <x:c r="F8" s="2"/>
      <x:c r="G8" s="2"/>
      <x:c r="H8" s="2"/>
      <x:c r="I8" s="2"/>
      <x:c r="J8" s="2"/>
    </x:row>
    <x:row r="9" ht="65" customHeight="1">
      <x:c r="B9" s="15" t="str">
        <x:v>SRC_NCA_CNX</x:v>
      </x:c>
      <x:c r="C9" s="15" t="str">
        <x:v>Nakhonchai Air / page updated 2026-02-09; retrieved 2026-10-02</x:v>
      </x:c>
      <x:c r="D9" s="15" t="str">
        <x:v>Cross-check only: operator route 1043 km; published route detail 13h15; actual timetable includes longer journeys</x:v>
      </x:c>
      <x:c r="E9" s="15" t="str">
        <x:v>https://www.nakhonchaiair.com/ncaweb/th/route/25</x:v>
      </x:c>
      <x:c r="F9" s="2"/>
      <x:c r="G9" s="2"/>
      <x:c r="H9" s="2"/>
      <x:c r="I9" s="2"/>
      <x:c r="J9" s="2"/>
    </x:row>
    <x:row r="10" ht="65" customHeight="1">
      <x:c r="B10" s="15" t="str">
        <x:v>SRC_THP</x:v>
      </x:c>
      <x:c r="C10" s="15" t="str">
        <x:v>Thailand Post / retrieved 2026-10-02</x:v>
      </x:c>
      <x:c r="D10" s="15" t="str">
        <x:v>Market context: 1-2 working-day benchmark, with cutoffs and remote-area exceptions</x:v>
      </x:c>
      <x:c r="E10" s="15" t="str">
        <x:v>https://www.thailandpost.co.th/un/article_detail/faq/94/735</x:v>
      </x:c>
      <x:c r="F10" s="2"/>
      <x:c r="G10" s="2"/>
      <x:c r="H10" s="2"/>
      <x:c r="I10" s="2"/>
      <x:c r="J10" s="2"/>
    </x:row>
    <x:row r="11" ht="65" customHeight="1">
      <x:c r="B11" s="15" t="str">
        <x:v>SRC_TMD</x:v>
      </x:c>
      <x:c r="C11" s="15" t="str">
        <x:v>Thai Meteorological Department / general seasonal context; retrieved 2026-10-02</x:v>
      </x:c>
      <x:c r="D11" s="15" t="str">
        <x:v>Broad May-October monsoon context</x:v>
      </x:c>
      <x:c r="E11" s="15" t="str">
        <x:v>https://tmd.go.th/climate/generalizedmonsoonindex</x:v>
      </x:c>
      <x:c r="F11" s="2"/>
      <x:c r="G11" s="2"/>
      <x:c r="H11" s="2"/>
      <x:c r="I11" s="2"/>
      <x:c r="J11" s="2"/>
    </x:row>
    <x:row r="12" ht="65" customHeight="1">
      <x:c r="B12" s="15" t="str">
        <x:v>SRC_EPPO_04</x:v>
      </x:c>
      <x:c r="C12" s="15" t="str">
        <x:v>Energy Policy and Planning Office (EPPO) / 2025-04</x:v>
      </x:c>
      <x:c r="D12" s="15" t="str">
        <x:v>Thailand diesel reference 31.94 THB/litre</x:v>
      </x:c>
      <x:c r="E12" s="15" t="str">
        <x:v>https://www.eppo.go.th/index.php/th/petroleum/gas/link-erc-pipeline/item/download/25562_1ecf6385226f1e42d3be78141172c29d</x:v>
      </x:c>
      <x:c r="F12" s="2"/>
      <x:c r="G12" s="2"/>
      <x:c r="H12" s="2"/>
      <x:c r="I12" s="2"/>
      <x:c r="J12" s="2"/>
    </x:row>
    <x:row r="13" ht="65" customHeight="1">
      <x:c r="B13" s="15" t="str">
        <x:v>SRC_EPPO_05</x:v>
      </x:c>
      <x:c r="C13" s="15" t="str">
        <x:v>Energy Policy and Planning Office (EPPO) / 2025-05</x:v>
      </x:c>
      <x:c r="D13" s="15" t="str">
        <x:v>Thailand diesel reference 31.94 THB/litre</x:v>
      </x:c>
      <x:c r="E13" s="15" t="str">
        <x:v>https://www.eppo.go.th/epposite/index.php/th/corporate-eppo/ethics/item/download/25622_a3b8192b151aa50e11310896c668961f</x:v>
      </x:c>
      <x:c r="F13" s="2"/>
      <x:c r="G13" s="2"/>
      <x:c r="H13" s="2"/>
      <x:c r="I13" s="2"/>
      <x:c r="J13" s="2"/>
    </x:row>
    <x:row r="14" ht="65" customHeight="1">
      <x:c r="B14" s="15" t="str">
        <x:v>SRC_EPPO_06</x:v>
      </x:c>
      <x:c r="C14" s="15" t="str">
        <x:v>Energy Policy and Planning Office (EPPO) / 2025-06</x:v>
      </x:c>
      <x:c r="D14" s="15" t="str">
        <x:v>Thailand diesel reference 31.94 THB/litre</x:v>
      </x:c>
      <x:c r="E14" s="15" t="str">
        <x:v>https://www.eppo.go.th/index.php/en/component/k2/item/download/25808_6d042169850424dfa4b4e6a255b7118d</x:v>
      </x:c>
      <x:c r="F14" s="2"/>
      <x:c r="G14" s="2"/>
      <x:c r="H14" s="2"/>
      <x:c r="I14" s="2"/>
      <x:c r="J14" s="2"/>
    </x:row>
    <x:row r="15" ht="65" customHeight="1">
      <x:c r="B15" s="15" t="str">
        <x:v>SRC_EPPO_07</x:v>
      </x:c>
      <x:c r="C15" s="15" t="str">
        <x:v>Energy Policy and Planning Office (EPPO) / 2025-07</x:v>
      </x:c>
      <x:c r="D15" s="15" t="str">
        <x:v>Thailand diesel reference 31.94 THB/litre</x:v>
      </x:c>
      <x:c r="E15" s="15" t="str">
        <x:v>https://www.eppo.go.th/index.php/en/component/k2/item/download/25810_3395fd2f21d5f639850a5a9ce1803baa</x:v>
      </x:c>
      <x:c r="F15" s="2"/>
      <x:c r="G15" s="2"/>
      <x:c r="H15" s="2"/>
      <x:c r="I15" s="2"/>
      <x:c r="J15" s="2"/>
    </x:row>
    <x:row r="16" ht="65" customHeight="1">
      <x:c r="B16" s="15" t="str">
        <x:v>SRC_EPPO_08</x:v>
      </x:c>
      <x:c r="C16" s="15" t="str">
        <x:v>Energy Policy and Planning Office (EPPO) / 2025-08</x:v>
      </x:c>
      <x:c r="D16" s="15" t="str">
        <x:v>Thailand diesel reference 31.94 THB/litre</x:v>
      </x:c>
      <x:c r="E16" s="15" t="str">
        <x:v>https://www.eppo.go.th/index.php/en/component/k2/item/download/25973_488d069ba4cc4b95a73d598248598d67</x:v>
      </x:c>
      <x:c r="F16" s="2"/>
      <x:c r="G16" s="2"/>
      <x:c r="H16" s="2"/>
      <x:c r="I16" s="2"/>
      <x:c r="J16" s="2"/>
    </x:row>
    <x:row r="17" ht="65" customHeight="1">
      <x:c r="B17" s="15" t="str">
        <x:v>SRC_EPPO_09</x:v>
      </x:c>
      <x:c r="C17" s="15" t="str">
        <x:v>Energy Policy and Planning Office (EPPO) / 2025-09</x:v>
      </x:c>
      <x:c r="D17" s="15" t="str">
        <x:v>Thailand diesel reference 31.94 THB/litre</x:v>
      </x:c>
      <x:c r="E17" s="15" t="str">
        <x:v>https://www.eppo.go.th/index.php/en/component/k2/item/download/25989_c6db1ca5ad952ca88cf1ad5863afc8f7</x:v>
      </x:c>
      <x:c r="F17" s="2"/>
      <x:c r="G17" s="2"/>
      <x:c r="H17" s="2"/>
      <x:c r="I17" s="2"/>
      <x:c r="J17" s="2"/>
    </x:row>
    <x:row r="18" ht="22" customHeight="1"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B20" s="12" t="str">
        <x:v>พารามิเตอร์หลัก (รายละเอียดทั้งหมดใน assumptions.json)</x:v>
      </x:c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8" customHeight="1">
      <x:c r="B22" s="11" t="str">
        <x:v>พารามิเตอร์</x:v>
      </x:c>
      <x:c r="C22" s="11" t="str">
        <x:v>ค่า</x:v>
      </x:c>
      <x:c r="D22" s="11" t="str">
        <x:v>ฐาน</x:v>
      </x:c>
      <x:c r="E22" s="2"/>
      <x:c r="F22" s="2"/>
      <x:c r="G22" s="2"/>
      <x:c r="H22" s="2"/>
      <x:c r="I22" s="2"/>
      <x:c r="J22" s="2"/>
    </x:row>
    <x:row r="23" ht="42" customHeight="1">
      <x:c r="B23" s="15" t="str">
        <x:v>ดีเซล (บาท/ลิตร)</x:v>
      </x:c>
      <x:c r="C23" s="16" t="n">
        <x:v>31.94</x:v>
      </x:c>
      <x:c r="D23" s="15" t="str">
        <x:v>ค่าจากรายงาน EPPO ไม่ใช่ราคาเฉลี่ยหรือราคาจริงรายวัน</x:v>
      </x:c>
      <x:c r="E23" s="2"/>
      <x:c r="F23" s="2"/>
      <x:c r="G23" s="2"/>
      <x:c r="H23" s="2"/>
      <x:c r="I23" s="2"/>
      <x:c r="J23" s="2"/>
    </x:row>
    <x:row r="24" ht="42" customHeight="1">
      <x:c r="B24" s="15" t="str">
        <x:v>GVW NLR / NPR / FTR</x:v>
      </x:c>
      <x:c r="C24" s="15" t="str">
        <x:v>4,400 / 8,500 / 15,000 กก.</x:v>
      </x:c>
      <x:c r="D24" s="15" t="str">
        <x:v>สเปกผู้ผลิต GVW รวมรถและสินค้า</x:v>
      </x:c>
      <x:c r="E24" s="2"/>
      <x:c r="F24" s="2"/>
      <x:c r="G24" s="2"/>
      <x:c r="H24" s="2"/>
      <x:c r="I24" s="2"/>
      <x:c r="J24" s="2"/>
    </x:row>
    <x:row r="25" ht="42" customHeight="1">
      <x:c r="B25" s="15" t="str">
        <x:v>น้ำหนักรถ / ความจุ</x:v>
      </x:c>
      <x:c r="C25" s="15" t="str">
        <x:v>ดู vehicle_models.csv</x:v>
      </x:c>
      <x:c r="D25" s="15" t="str">
        <x:v>สมมติ แยกจาก GVW ผู้ผลิต</x:v>
      </x:c>
      <x:c r="E25" s="2"/>
      <x:c r="F25" s="2"/>
      <x:c r="G25" s="2"/>
      <x:c r="H25" s="2"/>
      <x:c r="I25" s="2"/>
      <x:c r="J25" s="2"/>
    </x:row>
    <x:row r="26" ht="42" customHeight="1">
      <x:c r="B26" s="15" t="str">
        <x:v>ความประหยัดน้ำมัน</x:v>
      </x:c>
      <x:c r="C26" s="15" t="str">
        <x:v>NLR 8.8 / NPR 7.5 / FTR 5.5 กม./ลิตร</x:v>
      </x:c>
      <x:c r="D26" s="15" t="str">
        <x:v>สมมติ ไม่ใช่ผลทดสอบผู้ผลิต</x:v>
      </x:c>
      <x:c r="E26" s="2"/>
      <x:c r="F26" s="2"/>
      <x:c r="G26" s="2"/>
      <x:c r="H26" s="2"/>
      <x:c r="I26" s="2"/>
      <x:c r="J26" s="2"/>
    </x:row>
    <x:row r="27" ht="42" customHeight="1">
      <x:c r="B27" s="15" t="str">
        <x:v>พื้นที่ส่งมากที่สุด</x:v>
      </x:c>
      <x:c r="C27" s="15" t="str">
        <x:v>เชียงใหม่ 35%</x:v>
      </x:c>
      <x:c r="D27" s="15" t="str">
        <x:v>ผู้ใช้กำหนดเชียงใหม่มากที่สุด; 35% เป็นสัดส่วนจำลอง</x:v>
      </x:c>
      <x:c r="E27" s="2"/>
      <x:c r="F27" s="2"/>
      <x:c r="G27" s="2"/>
      <x:c r="H27" s="2"/>
      <x:c r="I27" s="2"/>
      <x:c r="J27" s="2"/>
    </x:row>
    <x:row r="28" ht="42" customHeight="1">
      <x:c r="B28" s="15" t="str">
        <x:v>SLA</x:v>
      </x:c>
      <x:c r="C28" s="15" t="str">
        <x:v>1 / 2 / 3 วันปฏิทิน ภายใน 18:00</x:v>
      </x:c>
      <x:c r="D28" s="15" t="str">
        <x:v>นโยบายบริษัทจำลอง ไม่ใช่ SLA ไปรษณีย์ไทย</x:v>
      </x:c>
      <x:c r="E28" s="2"/>
      <x:c r="F28" s="2"/>
      <x:c r="G28" s="2"/>
      <x:c r="H28" s="2"/>
      <x:c r="I28" s="2"/>
      <x:c r="J28" s="2"/>
    </x:row>
    <x:row r="29" ht="42" customHeight="1">
      <x:c r="B29" s="15" t="str">
        <x:v>ฝน / จราจร / ล่าช้า</x:v>
      </x:c>
      <x:c r="C29" s="15" t="str">
        <x:v>แบบจำลองสุ่มที่มีเงื่อนไข</x:v>
      </x:c>
      <x:c r="D29" s="15" t="str">
        <x:v>บริบทฤดูกาล TMD; ไม่ใช่ข้อมูลสังเกตรายวัน</x:v>
      </x:c>
      <x:c r="E29" s="2"/>
      <x:c r="F29" s="2"/>
      <x:c r="G29" s="2"/>
      <x:c r="H29" s="2"/>
      <x:c r="I29" s="2"/>
      <x:c r="J29" s="2"/>
    </x:row>
    <x:row r="30" ht="42" customHeight="1">
      <x:c r="B30" s="15" t="str">
        <x:v>การรับรู้ต้นทุน</x:v>
      </x:c>
      <x:c r="C30" s="15" t="str">
        <x:v>เมื่อเที่ยวจบรอบกลับศูนย์</x:v>
      </x:c>
      <x:c r="D30" s="15" t="str">
        <x:v>แบบจำลองต้นทุนและ accrual ไม่ใช่ใบเสร็จจริง</x:v>
      </x:c>
      <x:c r="E30" s="2"/>
      <x:c r="F30" s="2"/>
      <x:c r="G30" s="2"/>
      <x:c r="H30" s="2"/>
      <x:c r="I30" s="2"/>
      <x:c r="J30" s="2"/>
    </x:row>
    <x:row r="31" ht="42" customHeight="1">
      <x:c r="B31" s="15" t="str">
        <x:v>การแบ่งต้นทุน</x:v>
      </x:c>
      <x:c r="C31" s="15" t="str">
        <x:v>ตามน้ำหนัก shipment รักษายอดถึงสตางค์</x:v>
      </x:c>
      <x:c r="D31" s="15" t="str">
        <x:v>ห้ามคัดลอกต้นทุนเต็มเที่ยวซ้ำทุก shipment</x:v>
      </x:c>
      <x:c r="E31" s="2"/>
      <x:c r="F31" s="2"/>
      <x:c r="G31" s="2"/>
      <x:c r="H31" s="2"/>
      <x:c r="I31" s="2"/>
      <x:c r="J31" s="2"/>
    </x:row>
    <x:row r="32" ht="42" customHeight="1">
      <x:c r="B32" s="15" t="str">
        <x:v>วันที่ตัดข้อมูล</x:v>
      </x:c>
      <x:c r="C32" s="15" t="str">
        <x:v>2025-09-30 23:59:59 +07:00</x:v>
      </x:c>
      <x:c r="D32" s="15" t="str">
        <x:v>ข้อมูล actual หลังเวลานี้เป็น null</x:v>
      </x:c>
      <x:c r="E32" s="2"/>
      <x:c r="F32" s="2"/>
      <x:c r="G32" s="2"/>
      <x:c r="H32" s="2"/>
      <x:c r="I32" s="2"/>
      <x:c r="J32" s="2"/>
    </x:row>
    <x:row r="33" ht="42" customHeight="1">
      <x:c r="B33" s="15" t="str">
        <x:v>ข้อมูลฉบับเต็ม</x:v>
      </x:c>
      <x:c r="C33" s="15" t="str">
        <x:v>data/*.csv และ logistics_data.json</x:v>
      </x:c>
      <x:c r="D33" s="15" t="str">
        <x:v>Excel นี้เป็นไฟล์ภาพรวม ใช้ CSV/JSON ทำ ETL</x:v>
      </x:c>
      <x:c r="E33" s="2"/>
      <x:c r="F33" s="2"/>
      <x:c r="G33" s="2"/>
      <x:c r="H33" s="2"/>
      <x:c r="I33" s="2"/>
      <x:c r="J33" s="2"/>
    </x:row>
    <x:row r="34" ht="22" customHeight="1"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2" customHeight="1"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2" customHeight="1"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2" customHeight="1"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2" customHeight="1"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2" customHeight="1"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2" customHeight="1"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2" customHeight="1"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2" customHeight="1"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2" customHeight="1"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2" customHeight="1"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2" customHeight="1"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2" customHeight="1"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2" customHeight="1">
      <x:c r="B50" s="2"/>
      <x:c r="C50" s="2"/>
      <x:c r="D50" s="2"/>
      <x:c r="E50" s="2"/>
      <x:c r="F50" s="2"/>
      <x:c r="G50" s="2"/>
      <x:c r="H50" s="2"/>
      <x:c r="I50" s="2"/>
      <x:c r="J50" s="2"/>
    </x:row>
  </x:sheetData>
  <x:pageMargins left="0.7" right="0.7" top="0.75" bottom="0.75" header="0.3" footer="0.3"/>
</x:worksheet>
</file>